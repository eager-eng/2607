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8610bc85d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192dfdd3aff94145"/>
    <x:sheet xmlns:r="http://schemas.openxmlformats.org/officeDocument/2006/relationships" name="逐时运行" sheetId="2" r:id="Rb0529fb1470247b1"/>
    <x:sheet xmlns:r="http://schemas.openxmlformats.org/officeDocument/2006/relationships" name="汇总评价" sheetId="3" r:id="R59f58d880e674f61"/>
    <x:sheet xmlns:r="http://schemas.openxmlformats.org/officeDocument/2006/relationships" name="校验" sheetId="4" r:id="Rd46b8ad31af344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00"/>
    <x:numFmt numFmtId="202" formatCode="#,##0.00"/>
    <x:numFmt numFmtId="203" formatCode="0.000000"/>
    <x:numFmt numFmtId="204" formatCode="#,##0.0000"/>
    <x:numFmt numFmtId="205" formatCode="0.0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31445F"/>
      <x:name val="Carlito"/>
    </x:font>
    <x:font>
      <x:b/>
      <x:sz val="11"/>
      <x:color rgb="FF6C4A00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271AE"/>
      </x:patternFill>
    </x:fill>
    <x:fill>
      <x:patternFill patternType="solid">
        <x:fgColor rgb="FF70ACDE"/>
      </x:patternFill>
    </x:fill>
    <x:fill>
      <x:patternFill patternType="solid">
        <x:fgColor rgb="FFE9EFF8"/>
      </x:patternFill>
    </x:fill>
    <x:fill>
      <x:patternFill patternType="solid">
        <x:fgColor rgb="FFFFF7DF"/>
      </x:patternFill>
    </x:fill>
    <x:fill>
      <x:patternFill patternType="solid">
        <x:fgColor rgb="FFFBE9E8"/>
      </x:patternFill>
    </x:fill>
  </x:fills>
  <x:borders count="16">
    <x:border/>
    <x:border>
      <x:left style="thin">
        <x:color rgb="FFF5CC7D"/>
      </x:left>
      <x:top style="thin">
        <x:color rgb="FFF5CC7D"/>
      </x:top>
    </x:border>
    <x:border>
      <x:top style="thin">
        <x:color rgb="FFF5CC7D"/>
      </x:top>
    </x:border>
    <x:border>
      <x:right style="thin">
        <x:color rgb="FFF5CC7D"/>
      </x:right>
      <x:top style="thin">
        <x:color rgb="FFF5CC7D"/>
      </x:top>
    </x:border>
    <x:border>
      <x:left style="thin">
        <x:color rgb="FFF5CC7D"/>
      </x:left>
      <x:bottom style="thin">
        <x:color rgb="FFF5CC7D"/>
      </x:bottom>
    </x:border>
    <x:border>
      <x:bottom style="thin">
        <x:color rgb="FFF5CC7D"/>
      </x:bottom>
    </x:border>
    <x:border>
      <x:right style="thin">
        <x:color rgb="FFF5CC7D"/>
      </x:right>
      <x:bottom style="thin">
        <x:color rgb="FFF5CC7D"/>
      </x:bottom>
    </x:border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right style="thin">
        <x:color rgb="FFD9DEE8"/>
      </x:right>
      <x:top style="thin">
        <x:color rgb="FFD9DEE8"/>
      </x:top>
    </x:border>
    <x:border>
      <x:left style="thin">
        <x:color rgb="FFD9DEE8"/>
      </x:left>
      <x:top style="thin">
        <x:color rgb="FFD9DEE8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2" fillId="3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2" fillId="2" borderId="7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/>
    </x:xf>
    <x:xf numFmtId="0" fontId="3" fillId="4" borderId="8" xfId="0" applyNumberFormat="1" applyFont="1" applyFill="1" applyBorder="1" applyAlignment="1">
      <x:alignment horizontal="center"/>
    </x:xf>
    <x:xf numFmtId="0" fontId="3" fillId="4" borderId="9" xfId="0" applyNumberFormat="1" applyFont="1" applyFill="1" applyBorder="1" applyAlignment="1">
      <x:alignment horizontal="center"/>
    </x:xf>
    <x:xf numFmtId="0" fontId="5" fillId="6" borderId="12" xfId="0" applyNumberFormat="1" applyFont="1" applyFill="1" applyBorder="1" applyAlignment="1">
      <x:alignment horizontal="center"/>
    </x:xf>
    <x:xf numFmtId="0" fontId="5" fillId="4" borderId="12" xfId="0" applyNumberFormat="1" applyFont="1" applyFill="1" applyBorder="1" applyAlignment="1">
      <x:alignment horizontal="center"/>
    </x:xf>
    <x:xf numFmtId="0" fontId="5" fillId="6" borderId="15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1" fontId="0" fillId="0" borderId="11" xfId="0" applyNumberFormat="1" applyFont="1" applyFill="1" applyBorder="1"/>
    <x:xf numFmtId="201" fontId="0" fillId="0" borderId="14" xfId="0" applyNumberFormat="1" applyFont="1" applyFill="1" applyBorder="1"/>
    <x:xf numFmtId="202" fontId="0" fillId="0" borderId="11" xfId="0" applyNumberFormat="1" applyFont="1" applyFill="1" applyBorder="1"/>
    <x:xf numFmtId="202" fontId="0" fillId="0" borderId="14" xfId="0" applyNumberFormat="1" applyFont="1" applyFill="1" applyBorder="1"/>
    <x:xf numFmtId="203" fontId="0" fillId="0" borderId="11" xfId="0" applyNumberFormat="1" applyFont="1" applyFill="1" applyBorder="1"/>
    <x:xf numFmtId="203" fontId="0" fillId="0" borderId="12" xfId="0" applyNumberFormat="1" applyFont="1" applyFill="1" applyBorder="1"/>
    <x:xf numFmtId="203" fontId="0" fillId="0" borderId="14" xfId="0" applyNumberFormat="1" applyFont="1" applyFill="1" applyBorder="1"/>
    <x:xf numFmtId="203" fontId="0" fillId="0" borderId="15" xfId="0" applyNumberFormat="1" applyFont="1" applyFill="1" applyBorder="1"/>
    <x:xf numFmtId="204" fontId="0" fillId="0" borderId="11" xfId="0" applyNumberFormat="1" applyFont="1" applyFill="1" applyBorder="1"/>
    <x:xf numFmtId="205" fontId="0" fillId="0" borderId="11" xfId="0" applyNumberFormat="1" applyFont="1" applyFill="1" applyBorder="1"/>
    <x:xf numFmtId="205" fontId="0" fillId="0" borderId="14" xfId="0" applyNumberFormat="1" applyFont="1" applyFill="1" applyBorder="1"/>
    <x:xf numFmtId="202" fontId="4" fillId="5" borderId="11" xfId="0" applyNumberFormat="1" applyFont="1" applyFill="1" applyBorder="1"/>
    <x:xf numFmtId="202" fontId="4" fillId="5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f64c7b153b4a1a" /><Relationship Type="http://schemas.openxmlformats.org/officeDocument/2006/relationships/theme" Target="/xl/theme/theme1.xml" Id="R03c5836ed9394a8b" /><Relationship Type="http://schemas.openxmlformats.org/officeDocument/2006/relationships/sharedStrings" Target="/xl/sharedStrings.xml" Id="Rda6cc3bfafd94200" /><Relationship Type="http://schemas.openxmlformats.org/officeDocument/2006/relationships/worksheet" Target="/xl/worksheets/sheet1.xml" Id="R192dfdd3aff94145" /><Relationship Type="http://schemas.openxmlformats.org/officeDocument/2006/relationships/worksheet" Target="/xl/worksheets/sheet2.xml" Id="Rb0529fb1470247b1" /><Relationship Type="http://schemas.openxmlformats.org/officeDocument/2006/relationships/worksheet" Target="/xl/worksheets/sheet3.xml" Id="R59f58d880e674f61" /><Relationship Type="http://schemas.openxmlformats.org/officeDocument/2006/relationships/worksheet" Target="/xl/worksheets/sheet4.xml" Id="Rd46b8ad31af344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.380000114440918" hidden="0" customWidth="1"/>
    <x:col min="3" max="3" width="10" hidden="0" customWidth="1"/>
    <x:col min="4" max="4" width="24" hidden="0" customWidth="1"/>
  </x:cols>
  <x:sheetData>
    <x:row r="1" ht="28" customHeight="1">
      <x:c r="A1" s="3" t="str">
        <x:v>问题一输入参数</x:v>
      </x:c>
      <x:c r="B1" s="3"/>
      <x:c r="C1" s="3"/>
      <x:c r="D1" s="3"/>
    </x:row>
    <x:row r="3">
      <x:c r="A3" s="25" t="str">
        <x:v>参数</x:v>
      </x:c>
      <x:c r="B3" s="26" t="str">
        <x:v>数值</x:v>
      </x:c>
      <x:c r="C3" s="26" t="str">
        <x:v>单位</x:v>
      </x:c>
      <x:c r="D3" s="27" t="str">
        <x:v>来源</x:v>
      </x:c>
    </x:row>
    <x:row r="4">
      <x:c r="A4" s="28" t="str">
        <x:v>常规负荷基准功率</x:v>
      </x:c>
      <x:c r="B4" s="49" t="n">
        <x:v>6</x:v>
      </x:c>
      <x:c r="C4" s="29" t="str">
        <x:v>MW</x:v>
      </x:c>
      <x:c r="D4" s="30" t="str">
        <x:v>题面</x:v>
      </x:c>
    </x:row>
    <x:row r="5">
      <x:c r="A5" s="28" t="str">
        <x:v>风电装机容量</x:v>
      </x:c>
      <x:c r="B5" s="49" t="n">
        <x:v>40</x:v>
      </x:c>
      <x:c r="C5" s="29" t="str">
        <x:v>MW</x:v>
      </x:c>
      <x:c r="D5" s="30" t="str">
        <x:v>题面</x:v>
      </x:c>
    </x:row>
    <x:row r="6">
      <x:c r="A6" s="28" t="str">
        <x:v>光伏装机容量</x:v>
      </x:c>
      <x:c r="B6" s="49" t="n">
        <x:v>64</x:v>
      </x:c>
      <x:c r="C6" s="29" t="str">
        <x:v>MW</x:v>
      </x:c>
      <x:c r="D6" s="30" t="str">
        <x:v>题面</x:v>
      </x:c>
    </x:row>
    <x:row r="7">
      <x:c r="A7" s="28" t="str">
        <x:v>碱性电解槽功率</x:v>
      </x:c>
      <x:c r="B7" s="49" t="n">
        <x:v>10</x:v>
      </x:c>
      <x:c r="C7" s="29" t="str">
        <x:v>MW</x:v>
      </x:c>
      <x:c r="D7" s="30" t="str">
        <x:v>题面</x:v>
      </x:c>
    </x:row>
    <x:row r="8">
      <x:c r="A8" s="28" t="str">
        <x:v>PEM电解槽功率</x:v>
      </x:c>
      <x:c r="B8" s="49" t="n">
        <x:v>10</x:v>
      </x:c>
      <x:c r="C8" s="29" t="str">
        <x:v>MW</x:v>
      </x:c>
      <x:c r="D8" s="30" t="str">
        <x:v>题面</x:v>
      </x:c>
    </x:row>
    <x:row r="9">
      <x:c r="A9" s="28" t="str">
        <x:v>合成氨装置功率</x:v>
      </x:c>
      <x:c r="B9" s="49" t="n">
        <x:v>0.75</x:v>
      </x:c>
      <x:c r="C9" s="29" t="str">
        <x:v>MW</x:v>
      </x:c>
      <x:c r="D9" s="30" t="str">
        <x:v>题面</x:v>
      </x:c>
    </x:row>
    <x:row r="10">
      <x:c r="A10" s="28" t="str">
        <x:v>碱性电解槽效率</x:v>
      </x:c>
      <x:c r="B10" s="49" t="n">
        <x:v>0.7</x:v>
      </x:c>
      <x:c r="C10" s="29" t="str">
        <x:v>-</x:v>
      </x:c>
      <x:c r="D10" s="30" t="str">
        <x:v>附件5</x:v>
      </x:c>
    </x:row>
    <x:row r="11">
      <x:c r="A11" s="28" t="str">
        <x:v>PEM电解槽效率</x:v>
      </x:c>
      <x:c r="B11" s="49" t="n">
        <x:v>0.8</x:v>
      </x:c>
      <x:c r="C11" s="29" t="str">
        <x:v>-</x:v>
      </x:c>
      <x:c r="D11" s="30" t="str">
        <x:v>附件5</x:v>
      </x:c>
    </x:row>
    <x:row r="12">
      <x:c r="A12" s="28" t="str">
        <x:v>制氢基准耗电量</x:v>
      </x:c>
      <x:c r="B12" s="49" t="n">
        <x:v>50</x:v>
      </x:c>
      <x:c r="C12" s="29" t="str">
        <x:v>kWh/kgH2</x:v>
      </x:c>
      <x:c r="D12" s="30" t="str">
        <x:v>附件5</x:v>
      </x:c>
    </x:row>
    <x:row r="13">
      <x:c r="A13" s="28" t="str">
        <x:v>风电度电成本</x:v>
      </x:c>
      <x:c r="B13" s="49" t="n">
        <x:v>0.15</x:v>
      </x:c>
      <x:c r="C13" s="29" t="str">
        <x:v>¥/kWh</x:v>
      </x:c>
      <x:c r="D13" s="30" t="str">
        <x:v>附件5</x:v>
      </x:c>
    </x:row>
    <x:row r="14">
      <x:c r="A14" s="28" t="str">
        <x:v>光伏度电成本</x:v>
      </x:c>
      <x:c r="B14" s="49" t="n">
        <x:v>0.12</x:v>
      </x:c>
      <x:c r="C14" s="29" t="str">
        <x:v>¥/kWh</x:v>
      </x:c>
      <x:c r="D14" s="30" t="str">
        <x:v>附件5</x:v>
      </x:c>
    </x:row>
    <x:row r="15">
      <x:c r="A15" s="28" t="str">
        <x:v>碱性电解槽运维系数</x:v>
      </x:c>
      <x:c r="B15" s="49" t="n">
        <x:v>0.1</x:v>
      </x:c>
      <x:c r="C15" s="29" t="str">
        <x:v>¥/kWh</x:v>
      </x:c>
      <x:c r="D15" s="30" t="str">
        <x:v>附件5</x:v>
      </x:c>
    </x:row>
    <x:row r="16">
      <x:c r="A16" s="28" t="str">
        <x:v>PEM电解槽运维系数</x:v>
      </x:c>
      <x:c r="B16" s="49" t="n">
        <x:v>0.15</x:v>
      </x:c>
      <x:c r="C16" s="29" t="str">
        <x:v>¥/kWh</x:v>
      </x:c>
      <x:c r="D16" s="30" t="str">
        <x:v>附件5</x:v>
      </x:c>
    </x:row>
    <x:row r="17">
      <x:c r="A17" s="28" t="str">
        <x:v>合成氨装置运维系数</x:v>
      </x:c>
      <x:c r="B17" s="49" t="n">
        <x:v>0.002</x:v>
      </x:c>
      <x:c r="C17" s="29" t="str">
        <x:v>¥/kWh</x:v>
      </x:c>
      <x:c r="D17" s="30" t="str">
        <x:v>附件6</x:v>
      </x:c>
    </x:row>
    <x:row r="18">
      <x:c r="A18" s="28" t="str">
        <x:v>合成氨装置投资成本</x:v>
      </x:c>
      <x:c r="B18" s="49" t="n">
        <x:v>60000</x:v>
      </x:c>
      <x:c r="C18" s="29" t="str">
        <x:v>¥/(kgH2/h)</x:v>
      </x:c>
      <x:c r="D18" s="30" t="str">
        <x:v>附件6及容量口径假设</x:v>
      </x:c>
    </x:row>
    <x:row r="19">
      <x:c r="A19" s="28" t="str">
        <x:v>合成氨装置寿命</x:v>
      </x:c>
      <x:c r="B19" s="49" t="n">
        <x:v>30</x:v>
      </x:c>
      <x:c r="C19" s="29" t="str">
        <x:v>year</x:v>
      </x:c>
      <x:c r="D19" s="30" t="str">
        <x:v>附件6</x:v>
      </x:c>
    </x:row>
    <x:row r="20">
      <x:c r="A20" s="28" t="str">
        <x:v>合成氨单位耗氢</x:v>
      </x:c>
      <x:c r="B20" s="49" t="n">
        <x:v>0.2</x:v>
      </x:c>
      <x:c r="C20" s="29" t="str">
        <x:v>kgH2/kgNH3</x:v>
      </x:c>
      <x:c r="D20" s="30" t="str">
        <x:v>附件6</x:v>
      </x:c>
    </x:row>
    <x:row r="21">
      <x:c r="A21" s="28" t="str">
        <x:v>合成氨单位耗电</x:v>
      </x:c>
      <x:c r="B21" s="49" t="n">
        <x:v>0.5</x:v>
      </x:c>
      <x:c r="C21" s="29" t="str">
        <x:v>kWh/kgNH3</x:v>
      </x:c>
      <x:c r="D21" s="30" t="str">
        <x:v>附件6</x:v>
      </x:c>
    </x:row>
    <x:row r="22">
      <x:c r="A22" s="28" t="str">
        <x:v>低谷购电电价</x:v>
      </x:c>
      <x:c r="B22" s="49" t="n">
        <x:v>0.3424</x:v>
      </x:c>
      <x:c r="C22" s="29" t="str">
        <x:v>¥/kWh</x:v>
      </x:c>
      <x:c r="D22" s="30" t="str">
        <x:v>附件7</x:v>
      </x:c>
    </x:row>
    <x:row r="23">
      <x:c r="A23" s="28" t="str">
        <x:v>平时购电电价</x:v>
      </x:c>
      <x:c r="B23" s="49" t="n">
        <x:v>0.6074</x:v>
      </x:c>
      <x:c r="C23" s="29" t="str">
        <x:v>¥/kWh</x:v>
      </x:c>
      <x:c r="D23" s="30" t="str">
        <x:v>附件7</x:v>
      </x:c>
    </x:row>
    <x:row r="24">
      <x:c r="A24" s="28" t="str">
        <x:v>高峰购电电价</x:v>
      </x:c>
      <x:c r="B24" s="49" t="n">
        <x:v>0.8024</x:v>
      </x:c>
      <x:c r="C24" s="29" t="str">
        <x:v>¥/kWh</x:v>
      </x:c>
      <x:c r="D24" s="30" t="str">
        <x:v>附件7</x:v>
      </x:c>
    </x:row>
    <x:row r="25">
      <x:c r="A25" s="31" t="str">
        <x:v>上网电价</x:v>
      </x:c>
      <x:c r="B25" s="50" t="n">
        <x:v>0.3779</x:v>
      </x:c>
      <x:c r="C25" s="32" t="str">
        <x:v>¥/kWh</x:v>
      </x:c>
      <x:c r="D25" s="33" t="str">
        <x:v>附件8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34" t="str">
        <x:v>时段</x:v>
      </x:c>
      <x:c r="B1" s="35" t="str">
        <x:v>常规负荷标幺值</x:v>
      </x:c>
      <x:c r="C1" s="35" t="str">
        <x:v>常规负荷功率 / MW</x:v>
      </x:c>
      <x:c r="D1" s="35" t="str">
        <x:v>风电标幺值</x:v>
      </x:c>
      <x:c r="E1" s="35" t="str">
        <x:v>光伏标幺值</x:v>
      </x:c>
      <x:c r="F1" s="35" t="str">
        <x:v>风电功率 / MW</x:v>
      </x:c>
      <x:c r="G1" s="35" t="str">
        <x:v>光伏功率 / MW</x:v>
      </x:c>
      <x:c r="H1" s="35" t="str">
        <x:v>电氢氨负荷功率 / MW</x:v>
      </x:c>
      <x:c r="I1" s="35" t="str">
        <x:v>总负荷功率 / MW</x:v>
      </x:c>
      <x:c r="J1" s="35" t="str">
        <x:v>风光总出力 / MW</x:v>
      </x:c>
      <x:c r="K1" s="35" t="str">
        <x:v>购电功率 / MW</x:v>
      </x:c>
      <x:c r="L1" s="35" t="str">
        <x:v>上网功率 / MW</x:v>
      </x:c>
      <x:c r="M1" s="35" t="str">
        <x:v>购电电价 / (¥/kWh)</x:v>
      </x:c>
      <x:c r="N1" s="35" t="str">
        <x:v>上网电价 / (¥/kWh)</x:v>
      </x:c>
      <x:c r="O1" s="35" t="str">
        <x:v>购电成本 / ¥</x:v>
      </x:c>
      <x:c r="P1" s="35" t="str">
        <x:v>售电收入 / ¥</x:v>
      </x:c>
      <x:c r="Q1" s="35" t="str">
        <x:v>功率平衡残差 / MW</x:v>
      </x:c>
      <x:c r="R1" s="36" t="str">
        <x:v>购售电乘积 / MW2</x:v>
      </x:c>
    </x:row>
    <x:row r="2">
      <x:c r="A2" s="28" t="str">
        <x:v>0:00-1:00</x:v>
      </x:c>
      <x:c r="B2" s="49" t="n">
        <x:v>0.2283</x:v>
      </x:c>
      <x:c r="C2" s="49" t="n">
        <x:f>B2*'参数'!$B$4</x:f>
        <x:v>1.3698000000000001</x:v>
      </x:c>
      <x:c r="D2" s="49" t="n">
        <x:v>0.2726</x:v>
      </x:c>
      <x:c r="E2" s="49" t="n">
        <x:v>0</x:v>
      </x:c>
      <x:c r="F2" s="51" t="n">
        <x:f>D2*'参数'!$B$5</x:f>
        <x:v>10.904</x:v>
      </x:c>
      <x:c r="G2" s="51" t="n">
        <x:f>E2*'参数'!$B$6</x:f>
        <x:v>0</x:v>
      </x:c>
      <x:c r="H2" s="51" t="n">
        <x:f>'参数'!$B$7+'参数'!$B$8+'参数'!$B$9</x:f>
        <x:v>20.75</x:v>
      </x:c>
      <x:c r="I2" s="51" t="n">
        <x:f>C2+H2</x:f>
        <x:v>22.1198</x:v>
      </x:c>
      <x:c r="J2" s="51" t="n">
        <x:f>F2+G2</x:f>
        <x:v>10.904</x:v>
      </x:c>
      <x:c r="K2" s="51" t="n">
        <x:f>MAX(I2-J2,0)</x:f>
        <x:v>11.215800000000002</x:v>
      </x:c>
      <x:c r="L2" s="51" t="n">
        <x:f>MAX(J2-I2,0)</x:f>
        <x:v>0</x:v>
      </x:c>
      <x:c r="M2" s="49" t="n">
        <x:v>0.3424</x:v>
      </x:c>
      <x:c r="N2" s="49" t="n">
        <x:v>0.3779</x:v>
      </x:c>
      <x:c r="O2" s="53" t="n">
        <x:f>K2*1000*M2</x:f>
        <x:v>3840.28992</x:v>
      </x:c>
      <x:c r="P2" s="53" t="n">
        <x:f>L2*1000*N2</x:f>
        <x:v>0</x:v>
      </x:c>
      <x:c r="Q2" s="55" t="n">
        <x:f>F2+G2+K2-I2-L2</x:f>
        <x:v>0</x:v>
      </x:c>
      <x:c r="R2" s="56" t="n">
        <x:f>K2*L2</x:f>
        <x:v>0</x:v>
      </x:c>
    </x:row>
    <x:row r="3">
      <x:c r="A3" s="28" t="str">
        <x:v>1:00-2:00</x:v>
      </x:c>
      <x:c r="B3" s="49" t="n">
        <x:v>0.1833</x:v>
      </x:c>
      <x:c r="C3" s="49" t="n">
        <x:f>B3*'参数'!$B$4</x:f>
        <x:v>1.0997999999999999</x:v>
      </x:c>
      <x:c r="D3" s="49" t="n">
        <x:v>0.3788</x:v>
      </x:c>
      <x:c r="E3" s="49" t="n">
        <x:v>0</x:v>
      </x:c>
      <x:c r="F3" s="51" t="n">
        <x:f>D3*'参数'!$B$5</x:f>
        <x:v>15.152000000000001</x:v>
      </x:c>
      <x:c r="G3" s="51" t="n">
        <x:f>E3*'参数'!$B$6</x:f>
        <x:v>0</x:v>
      </x:c>
      <x:c r="H3" s="51" t="n">
        <x:f>'参数'!$B$7+'参数'!$B$8+'参数'!$B$9</x:f>
        <x:v>20.75</x:v>
      </x:c>
      <x:c r="I3" s="51" t="n">
        <x:f>C3+H3</x:f>
        <x:v>21.8498</x:v>
      </x:c>
      <x:c r="J3" s="51" t="n">
        <x:f>F3+G3</x:f>
        <x:v>15.152000000000001</x:v>
      </x:c>
      <x:c r="K3" s="51" t="n">
        <x:f>MAX(I3-J3,0)</x:f>
        <x:v>6.697799999999997</x:v>
      </x:c>
      <x:c r="L3" s="51" t="n">
        <x:f>MAX(J3-I3,0)</x:f>
        <x:v>0</x:v>
      </x:c>
      <x:c r="M3" s="49" t="n">
        <x:v>0.3424</x:v>
      </x:c>
      <x:c r="N3" s="49" t="n">
        <x:v>0.3779</x:v>
      </x:c>
      <x:c r="O3" s="53" t="n">
        <x:f>K3*1000*M3</x:f>
        <x:v>2293.326719999999</x:v>
      </x:c>
      <x:c r="P3" s="53" t="n">
        <x:f>L3*1000*N3</x:f>
        <x:v>0</x:v>
      </x:c>
      <x:c r="Q3" s="55" t="n">
        <x:f>F3+G3+K3-I3-L3</x:f>
        <x:v>0</x:v>
      </x:c>
      <x:c r="R3" s="56" t="n">
        <x:f>K3*L3</x:f>
        <x:v>0</x:v>
      </x:c>
    </x:row>
    <x:row r="4">
      <x:c r="A4" s="28" t="str">
        <x:v>2:00-3:00</x:v>
      </x:c>
      <x:c r="B4" s="49" t="n">
        <x:v>0.1333</x:v>
      </x:c>
      <x:c r="C4" s="49" t="n">
        <x:f>B4*'参数'!$B$4</x:f>
        <x:v>0.7998000000000001</x:v>
      </x:c>
      <x:c r="D4" s="49" t="n">
        <x:v>0.3328</x:v>
      </x:c>
      <x:c r="E4" s="49" t="n">
        <x:v>0</x:v>
      </x:c>
      <x:c r="F4" s="51" t="n">
        <x:f>D4*'参数'!$B$5</x:f>
        <x:v>13.312</x:v>
      </x:c>
      <x:c r="G4" s="51" t="n">
        <x:f>E4*'参数'!$B$6</x:f>
        <x:v>0</x:v>
      </x:c>
      <x:c r="H4" s="51" t="n">
        <x:f>'参数'!$B$7+'参数'!$B$8+'参数'!$B$9</x:f>
        <x:v>20.75</x:v>
      </x:c>
      <x:c r="I4" s="51" t="n">
        <x:f>C4+H4</x:f>
        <x:v>21.5498</x:v>
      </x:c>
      <x:c r="J4" s="51" t="n">
        <x:f>F4+G4</x:f>
        <x:v>13.312</x:v>
      </x:c>
      <x:c r="K4" s="51" t="n">
        <x:f>MAX(I4-J4,0)</x:f>
        <x:v>8.237800000000002</x:v>
      </x:c>
      <x:c r="L4" s="51" t="n">
        <x:f>MAX(J4-I4,0)</x:f>
        <x:v>0</x:v>
      </x:c>
      <x:c r="M4" s="49" t="n">
        <x:v>0.3424</x:v>
      </x:c>
      <x:c r="N4" s="49" t="n">
        <x:v>0.3779</x:v>
      </x:c>
      <x:c r="O4" s="53" t="n">
        <x:f>K4*1000*M4</x:f>
        <x:v>2820.6227200000003</x:v>
      </x:c>
      <x:c r="P4" s="53" t="n">
        <x:f>L4*1000*N4</x:f>
        <x:v>0</x:v>
      </x:c>
      <x:c r="Q4" s="55" t="n">
        <x:f>F4+G4+K4-I4-L4</x:f>
        <x:v>0</x:v>
      </x:c>
      <x:c r="R4" s="56" t="n">
        <x:f>K4*L4</x:f>
        <x:v>0</x:v>
      </x:c>
    </x:row>
    <x:row r="5">
      <x:c r="A5" s="28" t="str">
        <x:v>3:00-4:00</x:v>
      </x:c>
      <x:c r="B5" s="49" t="n">
        <x:v>0.165</x:v>
      </x:c>
      <x:c r="C5" s="49" t="n">
        <x:f>B5*'参数'!$B$4</x:f>
        <x:v>0.99</x:v>
      </x:c>
      <x:c r="D5" s="49" t="n">
        <x:v>0.3768</x:v>
      </x:c>
      <x:c r="E5" s="49" t="n">
        <x:v>0</x:v>
      </x:c>
      <x:c r="F5" s="51" t="n">
        <x:f>D5*'参数'!$B$5</x:f>
        <x:v>15.072000000000001</x:v>
      </x:c>
      <x:c r="G5" s="51" t="n">
        <x:f>E5*'参数'!$B$6</x:f>
        <x:v>0</x:v>
      </x:c>
      <x:c r="H5" s="51" t="n">
        <x:f>'参数'!$B$7+'参数'!$B$8+'参数'!$B$9</x:f>
        <x:v>20.75</x:v>
      </x:c>
      <x:c r="I5" s="51" t="n">
        <x:f>C5+H5</x:f>
        <x:v>21.74</x:v>
      </x:c>
      <x:c r="J5" s="51" t="n">
        <x:f>F5+G5</x:f>
        <x:v>15.072000000000001</x:v>
      </x:c>
      <x:c r="K5" s="51" t="n">
        <x:f>MAX(I5-J5,0)</x:f>
        <x:v>6.6679999999999975</x:v>
      </x:c>
      <x:c r="L5" s="51" t="n">
        <x:f>MAX(J5-I5,0)</x:f>
        <x:v>0</x:v>
      </x:c>
      <x:c r="M5" s="49" t="n">
        <x:v>0.3424</x:v>
      </x:c>
      <x:c r="N5" s="49" t="n">
        <x:v>0.3779</x:v>
      </x:c>
      <x:c r="O5" s="53" t="n">
        <x:f>K5*1000*M5</x:f>
        <x:v>2283.123199999999</x:v>
      </x:c>
      <x:c r="P5" s="53" t="n">
        <x:f>L5*1000*N5</x:f>
        <x:v>0</x:v>
      </x:c>
      <x:c r="Q5" s="55" t="n">
        <x:f>F5+G5+K5-I5-L5</x:f>
        <x:v>0</x:v>
      </x:c>
      <x:c r="R5" s="56" t="n">
        <x:f>K5*L5</x:f>
        <x:v>0</x:v>
      </x:c>
    </x:row>
    <x:row r="6">
      <x:c r="A6" s="28" t="str">
        <x:v>4:00-5:00</x:v>
      </x:c>
      <x:c r="B6" s="49" t="n">
        <x:v>0.1967</x:v>
      </x:c>
      <x:c r="C6" s="49" t="n">
        <x:f>B6*'参数'!$B$4</x:f>
        <x:v>1.1802000000000001</x:v>
      </x:c>
      <x:c r="D6" s="49" t="n">
        <x:v>0.4681</x:v>
      </x:c>
      <x:c r="E6" s="49" t="n">
        <x:v>0</x:v>
      </x:c>
      <x:c r="F6" s="51" t="n">
        <x:f>D6*'参数'!$B$5</x:f>
        <x:v>18.724</x:v>
      </x:c>
      <x:c r="G6" s="51" t="n">
        <x:f>E6*'参数'!$B$6</x:f>
        <x:v>0</x:v>
      </x:c>
      <x:c r="H6" s="51" t="n">
        <x:f>'参数'!$B$7+'参数'!$B$8+'参数'!$B$9</x:f>
        <x:v>20.75</x:v>
      </x:c>
      <x:c r="I6" s="51" t="n">
        <x:f>C6+H6</x:f>
        <x:v>21.9302</x:v>
      </x:c>
      <x:c r="J6" s="51" t="n">
        <x:f>F6+G6</x:f>
        <x:v>18.724</x:v>
      </x:c>
      <x:c r="K6" s="51" t="n">
        <x:f>MAX(I6-J6,0)</x:f>
        <x:v>3.206199999999999</x:v>
      </x:c>
      <x:c r="L6" s="51" t="n">
        <x:f>MAX(J6-I6,0)</x:f>
        <x:v>0</x:v>
      </x:c>
      <x:c r="M6" s="49" t="n">
        <x:v>0.3424</x:v>
      </x:c>
      <x:c r="N6" s="49" t="n">
        <x:v>0.3779</x:v>
      </x:c>
      <x:c r="O6" s="53" t="n">
        <x:f>K6*1000*M6</x:f>
        <x:v>1097.8028799999995</x:v>
      </x:c>
      <x:c r="P6" s="53" t="n">
        <x:f>L6*1000*N6</x:f>
        <x:v>0</x:v>
      </x:c>
      <x:c r="Q6" s="55" t="n">
        <x:f>F6+G6+K6-I6-L6</x:f>
        <x:v>0</x:v>
      </x:c>
      <x:c r="R6" s="56" t="n">
        <x:f>K6*L6</x:f>
        <x:v>0</x:v>
      </x:c>
    </x:row>
    <x:row r="7">
      <x:c r="A7" s="28" t="str">
        <x:v>5:00-6:00</x:v>
      </x:c>
      <x:c r="B7" s="49" t="n">
        <x:v>0.2717</x:v>
      </x:c>
      <x:c r="C7" s="49" t="n">
        <x:f>B7*'参数'!$B$4</x:f>
        <x:v>1.6301999999999999</x:v>
      </x:c>
      <x:c r="D7" s="49" t="n">
        <x:v>0.2407</x:v>
      </x:c>
      <x:c r="E7" s="49" t="n">
        <x:v>0.02</x:v>
      </x:c>
      <x:c r="F7" s="51" t="n">
        <x:f>D7*'参数'!$B$5</x:f>
        <x:v>9.628</x:v>
      </x:c>
      <x:c r="G7" s="51" t="n">
        <x:f>E7*'参数'!$B$6</x:f>
        <x:v>1.28</x:v>
      </x:c>
      <x:c r="H7" s="51" t="n">
        <x:f>'参数'!$B$7+'参数'!$B$8+'参数'!$B$9</x:f>
        <x:v>20.75</x:v>
      </x:c>
      <x:c r="I7" s="51" t="n">
        <x:f>C7+H7</x:f>
        <x:v>22.3802</x:v>
      </x:c>
      <x:c r="J7" s="51" t="n">
        <x:f>F7+G7</x:f>
        <x:v>10.908</x:v>
      </x:c>
      <x:c r="K7" s="51" t="n">
        <x:f>MAX(I7-J7,0)</x:f>
        <x:v>11.472199999999999</x:v>
      </x:c>
      <x:c r="L7" s="51" t="n">
        <x:f>MAX(J7-I7,0)</x:f>
        <x:v>0</x:v>
      </x:c>
      <x:c r="M7" s="49" t="n">
        <x:v>0.3424</x:v>
      </x:c>
      <x:c r="N7" s="49" t="n">
        <x:v>0.3779</x:v>
      </x:c>
      <x:c r="O7" s="53" t="n">
        <x:f>K7*1000*M7</x:f>
        <x:v>3928.0812799999994</x:v>
      </x:c>
      <x:c r="P7" s="53" t="n">
        <x:f>L7*1000*N7</x:f>
        <x:v>0</x:v>
      </x:c>
      <x:c r="Q7" s="55" t="n">
        <x:f>F7+G7+K7-I7-L7</x:f>
        <x:v>0</x:v>
      </x:c>
      <x:c r="R7" s="56" t="n">
        <x:f>K7*L7</x:f>
        <x:v>0</x:v>
      </x:c>
    </x:row>
    <x:row r="8">
      <x:c r="A8" s="28" t="str">
        <x:v>6:00-7:00</x:v>
      </x:c>
      <x:c r="B8" s="49" t="n">
        <x:v>0.4167</x:v>
      </x:c>
      <x:c r="C8" s="49" t="n">
        <x:f>B8*'参数'!$B$4</x:f>
        <x:v>2.5002</x:v>
      </x:c>
      <x:c r="D8" s="49" t="n">
        <x:v>0.5701</x:v>
      </x:c>
      <x:c r="E8" s="49" t="n">
        <x:v>0.12</x:v>
      </x:c>
      <x:c r="F8" s="51" t="n">
        <x:f>D8*'参数'!$B$5</x:f>
        <x:v>22.804000000000002</x:v>
      </x:c>
      <x:c r="G8" s="51" t="n">
        <x:f>E8*'参数'!$B$6</x:f>
        <x:v>7.68</x:v>
      </x:c>
      <x:c r="H8" s="51" t="n">
        <x:f>'参数'!$B$7+'参数'!$B$8+'参数'!$B$9</x:f>
        <x:v>20.75</x:v>
      </x:c>
      <x:c r="I8" s="51" t="n">
        <x:f>C8+H8</x:f>
        <x:v>23.2502</x:v>
      </x:c>
      <x:c r="J8" s="51" t="n">
        <x:f>F8+G8</x:f>
        <x:v>30.484</x:v>
      </x:c>
      <x:c r="K8" s="51" t="n">
        <x:f>MAX(I8-J8,0)</x:f>
        <x:v>0</x:v>
      </x:c>
      <x:c r="L8" s="51" t="n">
        <x:f>MAX(J8-I8,0)</x:f>
        <x:v>7.233800000000002</x:v>
      </x:c>
      <x:c r="M8" s="49" t="n">
        <x:v>0.3424</x:v>
      </x:c>
      <x:c r="N8" s="49" t="n">
        <x:v>0.3779</x:v>
      </x:c>
      <x:c r="O8" s="53" t="n">
        <x:f>K8*1000*M8</x:f>
        <x:v>0</x:v>
      </x:c>
      <x:c r="P8" s="53" t="n">
        <x:f>L8*1000*N8</x:f>
        <x:v>2733.6530200000007</x:v>
      </x:c>
      <x:c r="Q8" s="55" t="n">
        <x:f>F8+G8+K8-I8-L8</x:f>
        <x:v>0</x:v>
      </x:c>
      <x:c r="R8" s="56" t="n">
        <x:f>K8*L8</x:f>
        <x:v>0</x:v>
      </x:c>
    </x:row>
    <x:row r="9">
      <x:c r="A9" s="28" t="str">
        <x:v>7:00-8:00</x:v>
      </x:c>
      <x:c r="B9" s="49" t="n">
        <x:v>0.5617</x:v>
      </x:c>
      <x:c r="C9" s="49" t="n">
        <x:f>B9*'参数'!$B$4</x:f>
        <x:v>3.3701999999999996</x:v>
      </x:c>
      <x:c r="D9" s="49" t="n">
        <x:v>0.4463</x:v>
      </x:c>
      <x:c r="E9" s="49" t="n">
        <x:v>0.28</x:v>
      </x:c>
      <x:c r="F9" s="51" t="n">
        <x:f>D9*'参数'!$B$5</x:f>
        <x:v>17.852</x:v>
      </x:c>
      <x:c r="G9" s="51" t="n">
        <x:f>E9*'参数'!$B$6</x:f>
        <x:v>17.92</x:v>
      </x:c>
      <x:c r="H9" s="51" t="n">
        <x:f>'参数'!$B$7+'参数'!$B$8+'参数'!$B$9</x:f>
        <x:v>20.75</x:v>
      </x:c>
      <x:c r="I9" s="51" t="n">
        <x:f>C9+H9</x:f>
        <x:v>24.1202</x:v>
      </x:c>
      <x:c r="J9" s="51" t="n">
        <x:f>F9+G9</x:f>
        <x:v>35.772000000000006</x:v>
      </x:c>
      <x:c r="K9" s="51" t="n">
        <x:f>MAX(I9-J9,0)</x:f>
        <x:v>0</x:v>
      </x:c>
      <x:c r="L9" s="51" t="n">
        <x:f>MAX(J9-I9,0)</x:f>
        <x:v>11.651800000000005</x:v>
      </x:c>
      <x:c r="M9" s="49" t="n">
        <x:v>0.6074</x:v>
      </x:c>
      <x:c r="N9" s="49" t="n">
        <x:v>0.3779</x:v>
      </x:c>
      <x:c r="O9" s="53" t="n">
        <x:f>K9*1000*M9</x:f>
        <x:v>0</x:v>
      </x:c>
      <x:c r="P9" s="53" t="n">
        <x:f>L9*1000*N9</x:f>
        <x:v>4403.215220000002</x:v>
      </x:c>
      <x:c r="Q9" s="55" t="n">
        <x:f>F9+G9+K9-I9-L9</x:f>
        <x:v>0</x:v>
      </x:c>
      <x:c r="R9" s="56" t="n">
        <x:f>K9*L9</x:f>
        <x:v>0</x:v>
      </x:c>
    </x:row>
    <x:row r="10">
      <x:c r="A10" s="28" t="str">
        <x:v>8:00-9:00</x:v>
      </x:c>
      <x:c r="B10" s="49" t="n">
        <x:v>0.6683</x:v>
      </x:c>
      <x:c r="C10" s="49" t="n">
        <x:f>B10*'参数'!$B$4</x:f>
        <x:v>4.0098</x:v>
      </x:c>
      <x:c r="D10" s="49" t="n">
        <x:v>0.3582</x:v>
      </x:c>
      <x:c r="E10" s="49" t="n">
        <x:v>0.45</x:v>
      </x:c>
      <x:c r="F10" s="51" t="n">
        <x:f>D10*'参数'!$B$5</x:f>
        <x:v>14.328000000000001</x:v>
      </x:c>
      <x:c r="G10" s="51" t="n">
        <x:f>E10*'参数'!$B$6</x:f>
        <x:v>28.8</x:v>
      </x:c>
      <x:c r="H10" s="51" t="n">
        <x:f>'参数'!$B$7+'参数'!$B$8+'参数'!$B$9</x:f>
        <x:v>20.75</x:v>
      </x:c>
      <x:c r="I10" s="51" t="n">
        <x:f>C10+H10</x:f>
        <x:v>24.7598</x:v>
      </x:c>
      <x:c r="J10" s="51" t="n">
        <x:f>F10+G10</x:f>
        <x:v>43.128</x:v>
      </x:c>
      <x:c r="K10" s="51" t="n">
        <x:f>MAX(I10-J10,0)</x:f>
        <x:v>0</x:v>
      </x:c>
      <x:c r="L10" s="51" t="n">
        <x:f>MAX(J10-I10,0)</x:f>
        <x:v>18.3682</x:v>
      </x:c>
      <x:c r="M10" s="49" t="n">
        <x:v>0.6074</x:v>
      </x:c>
      <x:c r="N10" s="49" t="n">
        <x:v>0.3779</x:v>
      </x:c>
      <x:c r="O10" s="53" t="n">
        <x:f>K10*1000*M10</x:f>
        <x:v>0</x:v>
      </x:c>
      <x:c r="P10" s="53" t="n">
        <x:f>L10*1000*N10</x:f>
        <x:v>6941.342780000001</x:v>
      </x:c>
      <x:c r="Q10" s="55" t="n">
        <x:f>F10+G10+K10-I10-L10</x:f>
        <x:v>0</x:v>
      </x:c>
      <x:c r="R10" s="56" t="n">
        <x:f>K10*L10</x:f>
        <x:v>0</x:v>
      </x:c>
    </x:row>
    <x:row r="11">
      <x:c r="A11" s="28" t="str">
        <x:v>9:00-10:00</x:v>
      </x:c>
      <x:c r="B11" s="49" t="n">
        <x:v>0.7</x:v>
      </x:c>
      <x:c r="C11" s="49" t="n">
        <x:f>B11*'参数'!$B$4</x:f>
        <x:v>4.199999999999999</x:v>
      </x:c>
      <x:c r="D11" s="49" t="n">
        <x:v>0.2976</x:v>
      </x:c>
      <x:c r="E11" s="49" t="n">
        <x:v>0.58</x:v>
      </x:c>
      <x:c r="F11" s="51" t="n">
        <x:f>D11*'参数'!$B$5</x:f>
        <x:v>11.904</x:v>
      </x:c>
      <x:c r="G11" s="51" t="n">
        <x:f>E11*'参数'!$B$6</x:f>
        <x:v>37.12</x:v>
      </x:c>
      <x:c r="H11" s="51" t="n">
        <x:f>'参数'!$B$7+'参数'!$B$8+'参数'!$B$9</x:f>
        <x:v>20.75</x:v>
      </x:c>
      <x:c r="I11" s="51" t="n">
        <x:f>C11+H11</x:f>
        <x:v>24.95</x:v>
      </x:c>
      <x:c r="J11" s="51" t="n">
        <x:f>F11+G11</x:f>
        <x:v>49.024</x:v>
      </x:c>
      <x:c r="K11" s="51" t="n">
        <x:f>MAX(I11-J11,0)</x:f>
        <x:v>0</x:v>
      </x:c>
      <x:c r="L11" s="51" t="n">
        <x:f>MAX(J11-I11,0)</x:f>
        <x:v>24.074</x:v>
      </x:c>
      <x:c r="M11" s="49" t="n">
        <x:v>0.6074</x:v>
      </x:c>
      <x:c r="N11" s="49" t="n">
        <x:v>0.3779</x:v>
      </x:c>
      <x:c r="O11" s="53" t="n">
        <x:f>K11*1000*M11</x:f>
        <x:v>0</x:v>
      </x:c>
      <x:c r="P11" s="53" t="n">
        <x:f>L11*1000*N11</x:f>
        <x:v>9097.5646</x:v>
      </x:c>
      <x:c r="Q11" s="55" t="n">
        <x:f>F11+G11+K11-I11-L11</x:f>
        <x:v>0</x:v>
      </x:c>
      <x:c r="R11" s="56" t="n">
        <x:f>K11*L11</x:f>
        <x:v>0</x:v>
      </x:c>
    </x:row>
    <x:row r="12">
      <x:c r="A12" s="28" t="str">
        <x:v>10:00-11:00</x:v>
      </x:c>
      <x:c r="B12" s="49" t="n">
        <x:v>0.6867</x:v>
      </x:c>
      <x:c r="C12" s="49" t="n">
        <x:f>B12*'参数'!$B$4</x:f>
        <x:v>4.1202</x:v>
      </x:c>
      <x:c r="D12" s="49" t="n">
        <x:v>0.1934</x:v>
      </x:c>
      <x:c r="E12" s="49" t="n">
        <x:v>0.67</x:v>
      </x:c>
      <x:c r="F12" s="51" t="n">
        <x:f>D12*'参数'!$B$5</x:f>
        <x:v>7.736</x:v>
      </x:c>
      <x:c r="G12" s="51" t="n">
        <x:f>E12*'参数'!$B$6</x:f>
        <x:v>42.88</x:v>
      </x:c>
      <x:c r="H12" s="51" t="n">
        <x:f>'参数'!$B$7+'参数'!$B$8+'参数'!$B$9</x:f>
        <x:v>20.75</x:v>
      </x:c>
      <x:c r="I12" s="51" t="n">
        <x:f>C12+H12</x:f>
        <x:v>24.8702</x:v>
      </x:c>
      <x:c r="J12" s="51" t="n">
        <x:f>F12+G12</x:f>
        <x:v>50.616</x:v>
      </x:c>
      <x:c r="K12" s="51" t="n">
        <x:f>MAX(I12-J12,0)</x:f>
        <x:v>0</x:v>
      </x:c>
      <x:c r="L12" s="51" t="n">
        <x:f>MAX(J12-I12,0)</x:f>
        <x:v>25.7458</x:v>
      </x:c>
      <x:c r="M12" s="49" t="n">
        <x:v>0.8024</x:v>
      </x:c>
      <x:c r="N12" s="49" t="n">
        <x:v>0.3779</x:v>
      </x:c>
      <x:c r="O12" s="53" t="n">
        <x:f>K12*1000*M12</x:f>
        <x:v>0</x:v>
      </x:c>
      <x:c r="P12" s="53" t="n">
        <x:f>L12*1000*N12</x:f>
        <x:v>9729.33782</x:v>
      </x:c>
      <x:c r="Q12" s="55" t="n">
        <x:f>F12+G12+K12-I12-L12</x:f>
        <x:v>0</x:v>
      </x:c>
      <x:c r="R12" s="56" t="n">
        <x:f>K12*L12</x:f>
        <x:v>0</x:v>
      </x:c>
    </x:row>
    <x:row r="13">
      <x:c r="A13" s="28" t="str">
        <x:v>11:00-12:00</x:v>
      </x:c>
      <x:c r="B13" s="49" t="n">
        <x:v>0.65</x:v>
      </x:c>
      <x:c r="C13" s="49" t="n">
        <x:f>B13*'参数'!$B$4</x:f>
        <x:v>3.9000000000000004</x:v>
      </x:c>
      <x:c r="D13" s="49" t="n">
        <x:v>0.2139</x:v>
      </x:c>
      <x:c r="E13" s="49" t="n">
        <x:v>0.7</x:v>
      </x:c>
      <x:c r="F13" s="51" t="n">
        <x:f>D13*'参数'!$B$5</x:f>
        <x:v>8.556000000000001</x:v>
      </x:c>
      <x:c r="G13" s="51" t="n">
        <x:f>E13*'参数'!$B$6</x:f>
        <x:v>44.8</x:v>
      </x:c>
      <x:c r="H13" s="51" t="n">
        <x:f>'参数'!$B$7+'参数'!$B$8+'参数'!$B$9</x:f>
        <x:v>20.75</x:v>
      </x:c>
      <x:c r="I13" s="51" t="n">
        <x:f>C13+H13</x:f>
        <x:v>24.65</x:v>
      </x:c>
      <x:c r="J13" s="51" t="n">
        <x:f>F13+G13</x:f>
        <x:v>53.355999999999995</x:v>
      </x:c>
      <x:c r="K13" s="51" t="n">
        <x:f>MAX(I13-J13,0)</x:f>
        <x:v>0</x:v>
      </x:c>
      <x:c r="L13" s="51" t="n">
        <x:f>MAX(J13-I13,0)</x:f>
        <x:v>28.705999999999996</x:v>
      </x:c>
      <x:c r="M13" s="49" t="n">
        <x:v>0.8024</x:v>
      </x:c>
      <x:c r="N13" s="49" t="n">
        <x:v>0.3779</x:v>
      </x:c>
      <x:c r="O13" s="53" t="n">
        <x:f>K13*1000*M13</x:f>
        <x:v>0</x:v>
      </x:c>
      <x:c r="P13" s="53" t="n">
        <x:f>L13*1000*N13</x:f>
        <x:v>10847.997399999998</x:v>
      </x:c>
      <x:c r="Q13" s="55" t="n">
        <x:f>F13+G13+K13-I13-L13</x:f>
        <x:v>0</x:v>
      </x:c>
      <x:c r="R13" s="56" t="n">
        <x:f>K13*L13</x:f>
        <x:v>0</x:v>
      </x:c>
    </x:row>
    <x:row r="14">
      <x:c r="A14" s="28" t="str">
        <x:v>12:00-13:00</x:v>
      </x:c>
      <x:c r="B14" s="49" t="n">
        <x:v>0.5433</x:v>
      </x:c>
      <x:c r="C14" s="49" t="n">
        <x:f>B14*'参数'!$B$4</x:f>
        <x:v>3.2598000000000003</x:v>
      </x:c>
      <x:c r="D14" s="49" t="n">
        <x:v>0.363</x:v>
      </x:c>
      <x:c r="E14" s="49" t="n">
        <x:v>0.72</x:v>
      </x:c>
      <x:c r="F14" s="51" t="n">
        <x:f>D14*'参数'!$B$5</x:f>
        <x:v>14.52</x:v>
      </x:c>
      <x:c r="G14" s="51" t="n">
        <x:f>E14*'参数'!$B$6</x:f>
        <x:v>46.08</x:v>
      </x:c>
      <x:c r="H14" s="51" t="n">
        <x:f>'参数'!$B$7+'参数'!$B$8+'参数'!$B$9</x:f>
        <x:v>20.75</x:v>
      </x:c>
      <x:c r="I14" s="51" t="n">
        <x:f>C14+H14</x:f>
        <x:v>24.0098</x:v>
      </x:c>
      <x:c r="J14" s="51" t="n">
        <x:f>F14+G14</x:f>
        <x:v>60.599999999999994</x:v>
      </x:c>
      <x:c r="K14" s="51" t="n">
        <x:f>MAX(I14-J14,0)</x:f>
        <x:v>0</x:v>
      </x:c>
      <x:c r="L14" s="51" t="n">
        <x:f>MAX(J14-I14,0)</x:f>
        <x:v>36.590199999999996</x:v>
      </x:c>
      <x:c r="M14" s="49" t="n">
        <x:v>0.8024</x:v>
      </x:c>
      <x:c r="N14" s="49" t="n">
        <x:v>0.3779</x:v>
      </x:c>
      <x:c r="O14" s="53" t="n">
        <x:f>K14*1000*M14</x:f>
        <x:v>0</x:v>
      </x:c>
      <x:c r="P14" s="53" t="n">
        <x:f>L14*1000*N14</x:f>
        <x:v>13827.43658</x:v>
      </x:c>
      <x:c r="Q14" s="55" t="n">
        <x:f>F14+G14+K14-I14-L14</x:f>
        <x:v>0</x:v>
      </x:c>
      <x:c r="R14" s="56" t="n">
        <x:f>K14*L14</x:f>
        <x:v>0</x:v>
      </x:c>
    </x:row>
    <x:row r="15">
      <x:c r="A15" s="28" t="str">
        <x:v>13:00-14:00</x:v>
      </x:c>
      <x:c r="B15" s="49" t="n">
        <x:v>0.4483</x:v>
      </x:c>
      <x:c r="C15" s="49" t="n">
        <x:f>B15*'参数'!$B$4</x:f>
        <x:v>2.6898</x:v>
      </x:c>
      <x:c r="D15" s="49" t="n">
        <x:v>0.1677</x:v>
      </x:c>
      <x:c r="E15" s="49" t="n">
        <x:v>0.67</x:v>
      </x:c>
      <x:c r="F15" s="51" t="n">
        <x:f>D15*'参数'!$B$5</x:f>
        <x:v>6.707999999999999</x:v>
      </x:c>
      <x:c r="G15" s="51" t="n">
        <x:f>E15*'参数'!$B$6</x:f>
        <x:v>42.88</x:v>
      </x:c>
      <x:c r="H15" s="51" t="n">
        <x:f>'参数'!$B$7+'参数'!$B$8+'参数'!$B$9</x:f>
        <x:v>20.75</x:v>
      </x:c>
      <x:c r="I15" s="51" t="n">
        <x:f>C15+H15</x:f>
        <x:v>23.439799999999998</x:v>
      </x:c>
      <x:c r="J15" s="51" t="n">
        <x:f>F15+G15</x:f>
        <x:v>49.588</x:v>
      </x:c>
      <x:c r="K15" s="51" t="n">
        <x:f>MAX(I15-J15,0)</x:f>
        <x:v>0</x:v>
      </x:c>
      <x:c r="L15" s="51" t="n">
        <x:f>MAX(J15-I15,0)</x:f>
        <x:v>26.148200000000003</x:v>
      </x:c>
      <x:c r="M15" s="49" t="n">
        <x:v>0.8024</x:v>
      </x:c>
      <x:c r="N15" s="49" t="n">
        <x:v>0.3779</x:v>
      </x:c>
      <x:c r="O15" s="53" t="n">
        <x:f>K15*1000*M15</x:f>
        <x:v>0</x:v>
      </x:c>
      <x:c r="P15" s="53" t="n">
        <x:f>L15*1000*N15</x:f>
        <x:v>9881.404780000003</x:v>
      </x:c>
      <x:c r="Q15" s="55" t="n">
        <x:f>F15+G15+K15-I15-L15</x:f>
        <x:v>0</x:v>
      </x:c>
      <x:c r="R15" s="56" t="n">
        <x:f>K15*L15</x:f>
        <x:v>0</x:v>
      </x:c>
    </x:row>
    <x:row r="16">
      <x:c r="A16" s="28" t="str">
        <x:v>14:00-15:00</x:v>
      </x:c>
      <x:c r="B16" s="49" t="n">
        <x:v>0.605</x:v>
      </x:c>
      <x:c r="C16" s="49" t="n">
        <x:f>B16*'参数'!$B$4</x:f>
        <x:v>3.63</x:v>
      </x:c>
      <x:c r="D16" s="49" t="n">
        <x:v>0.2794</x:v>
      </x:c>
      <x:c r="E16" s="49" t="n">
        <x:v>0.58</x:v>
      </x:c>
      <x:c r="F16" s="51" t="n">
        <x:f>D16*'参数'!$B$5</x:f>
        <x:v>11.175999999999998</x:v>
      </x:c>
      <x:c r="G16" s="51" t="n">
        <x:f>E16*'参数'!$B$6</x:f>
        <x:v>37.12</x:v>
      </x:c>
      <x:c r="H16" s="51" t="n">
        <x:f>'参数'!$B$7+'参数'!$B$8+'参数'!$B$9</x:f>
        <x:v>20.75</x:v>
      </x:c>
      <x:c r="I16" s="51" t="n">
        <x:f>C16+H16</x:f>
        <x:v>24.38</x:v>
      </x:c>
      <x:c r="J16" s="51" t="n">
        <x:f>F16+G16</x:f>
        <x:v>48.29599999999999</x:v>
      </x:c>
      <x:c r="K16" s="51" t="n">
        <x:f>MAX(I16-J16,0)</x:f>
        <x:v>0</x:v>
      </x:c>
      <x:c r="L16" s="51" t="n">
        <x:f>MAX(J16-I16,0)</x:f>
        <x:v>23.915999999999993</x:v>
      </x:c>
      <x:c r="M16" s="49" t="n">
        <x:v>0.8024</x:v>
      </x:c>
      <x:c r="N16" s="49" t="n">
        <x:v>0.3779</x:v>
      </x:c>
      <x:c r="O16" s="53" t="n">
        <x:f>K16*1000*M16</x:f>
        <x:v>0</x:v>
      </x:c>
      <x:c r="P16" s="53" t="n">
        <x:f>L16*1000*N16</x:f>
        <x:v>9037.856399999997</x:v>
      </x:c>
      <x:c r="Q16" s="55" t="n">
        <x:f>F16+G16+K16-I16-L16</x:f>
        <x:v>0</x:v>
      </x:c>
      <x:c r="R16" s="56" t="n">
        <x:f>K16*L16</x:f>
        <x:v>0</x:v>
      </x:c>
    </x:row>
    <x:row r="17">
      <x:c r="A17" s="28" t="str">
        <x:v>15:00-16:00</x:v>
      </x:c>
      <x:c r="B17" s="49" t="n">
        <x:v>0.6367</x:v>
      </x:c>
      <x:c r="C17" s="49" t="n">
        <x:f>B17*'参数'!$B$4</x:f>
        <x:v>3.8202000000000003</x:v>
      </x:c>
      <x:c r="D17" s="49" t="n">
        <x:v>0.2527</x:v>
      </x:c>
      <x:c r="E17" s="49" t="n">
        <x:v>0.45</x:v>
      </x:c>
      <x:c r="F17" s="51" t="n">
        <x:f>D17*'参数'!$B$5</x:f>
        <x:v>10.107999999999999</x:v>
      </x:c>
      <x:c r="G17" s="51" t="n">
        <x:f>E17*'参数'!$B$6</x:f>
        <x:v>28.8</x:v>
      </x:c>
      <x:c r="H17" s="51" t="n">
        <x:f>'参数'!$B$7+'参数'!$B$8+'参数'!$B$9</x:f>
        <x:v>20.75</x:v>
      </x:c>
      <x:c r="I17" s="51" t="n">
        <x:f>C17+H17</x:f>
        <x:v>24.5702</x:v>
      </x:c>
      <x:c r="J17" s="51" t="n">
        <x:f>F17+G17</x:f>
        <x:v>38.908</x:v>
      </x:c>
      <x:c r="K17" s="51" t="n">
        <x:f>MAX(I17-J17,0)</x:f>
        <x:v>0</x:v>
      </x:c>
      <x:c r="L17" s="51" t="n">
        <x:f>MAX(J17-I17,0)</x:f>
        <x:v>14.337800000000001</x:v>
      </x:c>
      <x:c r="M17" s="49" t="n">
        <x:v>0.6074</x:v>
      </x:c>
      <x:c r="N17" s="49" t="n">
        <x:v>0.3779</x:v>
      </x:c>
      <x:c r="O17" s="53" t="n">
        <x:f>K17*1000*M17</x:f>
        <x:v>0</x:v>
      </x:c>
      <x:c r="P17" s="53" t="n">
        <x:f>L17*1000*N17</x:f>
        <x:v>5418.254620000001</x:v>
      </x:c>
      <x:c r="Q17" s="55" t="n">
        <x:f>F17+G17+K17-I17-L17</x:f>
        <x:v>0</x:v>
      </x:c>
      <x:c r="R17" s="56" t="n">
        <x:f>K17*L17</x:f>
        <x:v>0</x:v>
      </x:c>
    </x:row>
    <x:row r="18">
      <x:c r="A18" s="28" t="str">
        <x:v>16:00-17:00</x:v>
      </x:c>
      <x:c r="B18" s="49" t="n">
        <x:v>0.625</x:v>
      </x:c>
      <x:c r="C18" s="49" t="n">
        <x:f>B18*'参数'!$B$4</x:f>
        <x:v>3.75</x:v>
      </x:c>
      <x:c r="D18" s="49" t="n">
        <x:v>0.1596</x:v>
      </x:c>
      <x:c r="E18" s="49" t="n">
        <x:v>0.28</x:v>
      </x:c>
      <x:c r="F18" s="51" t="n">
        <x:f>D18*'参数'!$B$5</x:f>
        <x:v>6.3839999999999995</x:v>
      </x:c>
      <x:c r="G18" s="51" t="n">
        <x:f>E18*'参数'!$B$6</x:f>
        <x:v>17.92</x:v>
      </x:c>
      <x:c r="H18" s="51" t="n">
        <x:f>'参数'!$B$7+'参数'!$B$8+'参数'!$B$9</x:f>
        <x:v>20.75</x:v>
      </x:c>
      <x:c r="I18" s="51" t="n">
        <x:f>C18+H18</x:f>
        <x:v>24.5</x:v>
      </x:c>
      <x:c r="J18" s="51" t="n">
        <x:f>F18+G18</x:f>
        <x:v>24.304000000000002</x:v>
      </x:c>
      <x:c r="K18" s="51" t="n">
        <x:f>MAX(I18-J18,0)</x:f>
        <x:v>0.19599999999999795</x:v>
      </x:c>
      <x:c r="L18" s="51" t="n">
        <x:f>MAX(J18-I18,0)</x:f>
        <x:v>0</x:v>
      </x:c>
      <x:c r="M18" s="49" t="n">
        <x:v>0.6074</x:v>
      </x:c>
      <x:c r="N18" s="49" t="n">
        <x:v>0.3779</x:v>
      </x:c>
      <x:c r="O18" s="53" t="n">
        <x:f>K18*1000*M18</x:f>
        <x:v>119.05039999999877</x:v>
      </x:c>
      <x:c r="P18" s="53" t="n">
        <x:f>L18*1000*N18</x:f>
        <x:v>0</x:v>
      </x:c>
      <x:c r="Q18" s="55" t="n">
        <x:f>F18+G18+K18-I18-L18</x:f>
        <x:v>0</x:v>
      </x:c>
      <x:c r="R18" s="56" t="n">
        <x:f>K18*L18</x:f>
        <x:v>0</x:v>
      </x:c>
    </x:row>
    <x:row r="19">
      <x:c r="A19" s="28" t="str">
        <x:v>17:00-18:00</x:v>
      </x:c>
      <x:c r="B19" s="49" t="n">
        <x:v>0.5233</x:v>
      </x:c>
      <x:c r="C19" s="49" t="n">
        <x:f>B19*'参数'!$B$4</x:f>
        <x:v>3.1398</x:v>
      </x:c>
      <x:c r="D19" s="49" t="n">
        <x:v>0.1607</x:v>
      </x:c>
      <x:c r="E19" s="49" t="n">
        <x:v>0.08</x:v>
      </x:c>
      <x:c r="F19" s="51" t="n">
        <x:f>D19*'参数'!$B$5</x:f>
        <x:v>6.428000000000001</x:v>
      </x:c>
      <x:c r="G19" s="51" t="n">
        <x:f>E19*'参数'!$B$6</x:f>
        <x:v>5.12</x:v>
      </x:c>
      <x:c r="H19" s="51" t="n">
        <x:f>'参数'!$B$7+'参数'!$B$8+'参数'!$B$9</x:f>
        <x:v>20.75</x:v>
      </x:c>
      <x:c r="I19" s="51" t="n">
        <x:f>C19+H19</x:f>
        <x:v>23.8898</x:v>
      </x:c>
      <x:c r="J19" s="51" t="n">
        <x:f>F19+G19</x:f>
        <x:v>11.548000000000002</x:v>
      </x:c>
      <x:c r="K19" s="51" t="n">
        <x:f>MAX(I19-J19,0)</x:f>
        <x:v>12.3418</x:v>
      </x:c>
      <x:c r="L19" s="51" t="n">
        <x:f>MAX(J19-I19,0)</x:f>
        <x:v>0</x:v>
      </x:c>
      <x:c r="M19" s="49" t="n">
        <x:v>0.6074</x:v>
      </x:c>
      <x:c r="N19" s="49" t="n">
        <x:v>0.3779</x:v>
      </x:c>
      <x:c r="O19" s="53" t="n">
        <x:f>K19*1000*M19</x:f>
        <x:v>7496.40932</x:v>
      </x:c>
      <x:c r="P19" s="53" t="n">
        <x:f>L19*1000*N19</x:f>
        <x:v>0</x:v>
      </x:c>
      <x:c r="Q19" s="55" t="n">
        <x:f>F19+G19+K19-I19-L19</x:f>
        <x:v>0</x:v>
      </x:c>
      <x:c r="R19" s="56" t="n">
        <x:f>K19*L19</x:f>
        <x:v>0</x:v>
      </x:c>
    </x:row>
    <x:row r="20">
      <x:c r="A20" s="28" t="str">
        <x:v>18:00-19:00</x:v>
      </x:c>
      <x:c r="B20" s="49" t="n">
        <x:v>0.435</x:v>
      </x:c>
      <x:c r="C20" s="49" t="n">
        <x:f>B20*'参数'!$B$4</x:f>
        <x:v>2.61</x:v>
      </x:c>
      <x:c r="D20" s="49" t="n">
        <x:v>0.1434</x:v>
      </x:c>
      <x:c r="E20" s="49" t="n">
        <x:v>0</x:v>
      </x:c>
      <x:c r="F20" s="51" t="n">
        <x:f>D20*'参数'!$B$5</x:f>
        <x:v>5.736</x:v>
      </x:c>
      <x:c r="G20" s="51" t="n">
        <x:f>E20*'参数'!$B$6</x:f>
        <x:v>0</x:v>
      </x:c>
      <x:c r="H20" s="51" t="n">
        <x:f>'参数'!$B$7+'参数'!$B$8+'参数'!$B$9</x:f>
        <x:v>20.75</x:v>
      </x:c>
      <x:c r="I20" s="51" t="n">
        <x:f>C20+H20</x:f>
        <x:v>23.36</x:v>
      </x:c>
      <x:c r="J20" s="51" t="n">
        <x:f>F20+G20</x:f>
        <x:v>5.736</x:v>
      </x:c>
      <x:c r="K20" s="51" t="n">
        <x:f>MAX(I20-J20,0)</x:f>
        <x:v>17.624</x:v>
      </x:c>
      <x:c r="L20" s="51" t="n">
        <x:f>MAX(J20-I20,0)</x:f>
        <x:v>0</x:v>
      </x:c>
      <x:c r="M20" s="49" t="n">
        <x:v>0.8024</x:v>
      </x:c>
      <x:c r="N20" s="49" t="n">
        <x:v>0.3779</x:v>
      </x:c>
      <x:c r="O20" s="53" t="n">
        <x:f>K20*1000*M20</x:f>
        <x:v>14141.4976</x:v>
      </x:c>
      <x:c r="P20" s="53" t="n">
        <x:f>L20*1000*N20</x:f>
        <x:v>0</x:v>
      </x:c>
      <x:c r="Q20" s="55" t="n">
        <x:f>F20+G20+K20-I20-L20</x:f>
        <x:v>0</x:v>
      </x:c>
      <x:c r="R20" s="56" t="n">
        <x:f>K20*L20</x:f>
        <x:v>0</x:v>
      </x:c>
    </x:row>
    <x:row r="21">
      <x:c r="A21" s="28" t="str">
        <x:v>19:00-20:00</x:v>
      </x:c>
      <x:c r="B21" s="49" t="n">
        <x:v>0.3533</x:v>
      </x:c>
      <x:c r="C21" s="49" t="n">
        <x:f>B21*'参数'!$B$4</x:f>
        <x:v>2.1198</x:v>
      </x:c>
      <x:c r="D21" s="49" t="n">
        <x:v>0.0938</x:v>
      </x:c>
      <x:c r="E21" s="49" t="n">
        <x:v>0</x:v>
      </x:c>
      <x:c r="F21" s="51" t="n">
        <x:f>D21*'参数'!$B$5</x:f>
        <x:v>3.752</x:v>
      </x:c>
      <x:c r="G21" s="51" t="n">
        <x:f>E21*'参数'!$B$6</x:f>
        <x:v>0</x:v>
      </x:c>
      <x:c r="H21" s="51" t="n">
        <x:f>'参数'!$B$7+'参数'!$B$8+'参数'!$B$9</x:f>
        <x:v>20.75</x:v>
      </x:c>
      <x:c r="I21" s="51" t="n">
        <x:f>C21+H21</x:f>
        <x:v>22.8698</x:v>
      </x:c>
      <x:c r="J21" s="51" t="n">
        <x:f>F21+G21</x:f>
        <x:v>3.752</x:v>
      </x:c>
      <x:c r="K21" s="51" t="n">
        <x:f>MAX(I21-J21,0)</x:f>
        <x:v>19.117800000000003</x:v>
      </x:c>
      <x:c r="L21" s="51" t="n">
        <x:f>MAX(J21-I21,0)</x:f>
        <x:v>0</x:v>
      </x:c>
      <x:c r="M21" s="49" t="n">
        <x:v>0.8024</x:v>
      </x:c>
      <x:c r="N21" s="49" t="n">
        <x:v>0.3779</x:v>
      </x:c>
      <x:c r="O21" s="53" t="n">
        <x:f>K21*1000*M21</x:f>
        <x:v>15340.122720000003</x:v>
      </x:c>
      <x:c r="P21" s="53" t="n">
        <x:f>L21*1000*N21</x:f>
        <x:v>0</x:v>
      </x:c>
      <x:c r="Q21" s="55" t="n">
        <x:f>F21+G21+K21-I21-L21</x:f>
        <x:v>0</x:v>
      </x:c>
      <x:c r="R21" s="56" t="n">
        <x:f>K21*L21</x:f>
        <x:v>0</x:v>
      </x:c>
    </x:row>
    <x:row r="22">
      <x:c r="A22" s="28" t="str">
        <x:v>20:00-21:00</x:v>
      </x:c>
      <x:c r="B22" s="49" t="n">
        <x:v>0.31</x:v>
      </x:c>
      <x:c r="C22" s="49" t="n">
        <x:f>B22*'参数'!$B$4</x:f>
        <x:v>1.8599999999999999</x:v>
      </x:c>
      <x:c r="D22" s="49" t="n">
        <x:v>0.0923</x:v>
      </x:c>
      <x:c r="E22" s="49" t="n">
        <x:v>0</x:v>
      </x:c>
      <x:c r="F22" s="51" t="n">
        <x:f>D22*'参数'!$B$5</x:f>
        <x:v>3.6919999999999997</x:v>
      </x:c>
      <x:c r="G22" s="51" t="n">
        <x:f>E22*'参数'!$B$6</x:f>
        <x:v>0</x:v>
      </x:c>
      <x:c r="H22" s="51" t="n">
        <x:f>'参数'!$B$7+'参数'!$B$8+'参数'!$B$9</x:f>
        <x:v>20.75</x:v>
      </x:c>
      <x:c r="I22" s="51" t="n">
        <x:f>C22+H22</x:f>
        <x:v>22.61</x:v>
      </x:c>
      <x:c r="J22" s="51" t="n">
        <x:f>F22+G22</x:f>
        <x:v>3.6919999999999997</x:v>
      </x:c>
      <x:c r="K22" s="51" t="n">
        <x:f>MAX(I22-J22,0)</x:f>
        <x:v>18.918</x:v>
      </x:c>
      <x:c r="L22" s="51" t="n">
        <x:f>MAX(J22-I22,0)</x:f>
        <x:v>0</x:v>
      </x:c>
      <x:c r="M22" s="49" t="n">
        <x:v>0.8024</x:v>
      </x:c>
      <x:c r="N22" s="49" t="n">
        <x:v>0.3779</x:v>
      </x:c>
      <x:c r="O22" s="53" t="n">
        <x:f>K22*1000*M22</x:f>
        <x:v>15179.8032</x:v>
      </x:c>
      <x:c r="P22" s="53" t="n">
        <x:f>L22*1000*N22</x:f>
        <x:v>0</x:v>
      </x:c>
      <x:c r="Q22" s="55" t="n">
        <x:f>F22+G22+K22-I22-L22</x:f>
        <x:v>0</x:v>
      </x:c>
      <x:c r="R22" s="56" t="n">
        <x:f>K22*L22</x:f>
        <x:v>0</x:v>
      </x:c>
    </x:row>
    <x:row r="23">
      <x:c r="A23" s="28" t="str">
        <x:v>21:00-22:00</x:v>
      </x:c>
      <x:c r="B23" s="49" t="n">
        <x:v>0.2717</x:v>
      </x:c>
      <x:c r="C23" s="49" t="n">
        <x:f>B23*'参数'!$B$4</x:f>
        <x:v>1.6301999999999999</x:v>
      </x:c>
      <x:c r="D23" s="49" t="n">
        <x:v>0.122</x:v>
      </x:c>
      <x:c r="E23" s="49" t="n">
        <x:v>0</x:v>
      </x:c>
      <x:c r="F23" s="51" t="n">
        <x:f>D23*'参数'!$B$5</x:f>
        <x:v>4.88</x:v>
      </x:c>
      <x:c r="G23" s="51" t="n">
        <x:f>E23*'参数'!$B$6</x:f>
        <x:v>0</x:v>
      </x:c>
      <x:c r="H23" s="51" t="n">
        <x:f>'参数'!$B$7+'参数'!$B$8+'参数'!$B$9</x:f>
        <x:v>20.75</x:v>
      </x:c>
      <x:c r="I23" s="51" t="n">
        <x:f>C23+H23</x:f>
        <x:v>22.3802</x:v>
      </x:c>
      <x:c r="J23" s="51" t="n">
        <x:f>F23+G23</x:f>
        <x:v>4.88</x:v>
      </x:c>
      <x:c r="K23" s="51" t="n">
        <x:f>MAX(I23-J23,0)</x:f>
        <x:v>17.5002</x:v>
      </x:c>
      <x:c r="L23" s="51" t="n">
        <x:f>MAX(J23-I23,0)</x:f>
        <x:v>0</x:v>
      </x:c>
      <x:c r="M23" s="49" t="n">
        <x:v>0.6074</x:v>
      </x:c>
      <x:c r="N23" s="49" t="n">
        <x:v>0.3779</x:v>
      </x:c>
      <x:c r="O23" s="53" t="n">
        <x:f>K23*1000*M23</x:f>
        <x:v>10629.621480000002</x:v>
      </x:c>
      <x:c r="P23" s="53" t="n">
        <x:f>L23*1000*N23</x:f>
        <x:v>0</x:v>
      </x:c>
      <x:c r="Q23" s="55" t="n">
        <x:f>F23+G23+K23-I23-L23</x:f>
        <x:v>0</x:v>
      </x:c>
      <x:c r="R23" s="56" t="n">
        <x:f>K23*L23</x:f>
        <x:v>0</x:v>
      </x:c>
    </x:row>
    <x:row r="24">
      <x:c r="A24" s="28" t="str">
        <x:v>22:00-23:00</x:v>
      </x:c>
      <x:c r="B24" s="49" t="n">
        <x:v>0.26</x:v>
      </x:c>
      <x:c r="C24" s="49" t="n">
        <x:f>B24*'参数'!$B$4</x:f>
        <x:v>1.56</x:v>
      </x:c>
      <x:c r="D24" s="49" t="n">
        <x:v>0.0625</x:v>
      </x:c>
      <x:c r="E24" s="49" t="n">
        <x:v>0</x:v>
      </x:c>
      <x:c r="F24" s="51" t="n">
        <x:f>D24*'参数'!$B$5</x:f>
        <x:v>2.5</x:v>
      </x:c>
      <x:c r="G24" s="51" t="n">
        <x:f>E24*'参数'!$B$6</x:f>
        <x:v>0</x:v>
      </x:c>
      <x:c r="H24" s="51" t="n">
        <x:f>'参数'!$B$7+'参数'!$B$8+'参数'!$B$9</x:f>
        <x:v>20.75</x:v>
      </x:c>
      <x:c r="I24" s="51" t="n">
        <x:f>C24+H24</x:f>
        <x:v>22.31</x:v>
      </x:c>
      <x:c r="J24" s="51" t="n">
        <x:f>F24+G24</x:f>
        <x:v>2.5</x:v>
      </x:c>
      <x:c r="K24" s="51" t="n">
        <x:f>MAX(I24-J24,0)</x:f>
        <x:v>19.81</x:v>
      </x:c>
      <x:c r="L24" s="51" t="n">
        <x:f>MAX(J24-I24,0)</x:f>
        <x:v>0</x:v>
      </x:c>
      <x:c r="M24" s="49" t="n">
        <x:v>0.6074</x:v>
      </x:c>
      <x:c r="N24" s="49" t="n">
        <x:v>0.3779</x:v>
      </x:c>
      <x:c r="O24" s="53" t="n">
        <x:f>K24*1000*M24</x:f>
        <x:v>12032.594000000001</x:v>
      </x:c>
      <x:c r="P24" s="53" t="n">
        <x:f>L24*1000*N24</x:f>
        <x:v>0</x:v>
      </x:c>
      <x:c r="Q24" s="55" t="n">
        <x:f>F24+G24+K24-I24-L24</x:f>
        <x:v>0</x:v>
      </x:c>
      <x:c r="R24" s="56" t="n">
        <x:f>K24*L24</x:f>
        <x:v>0</x:v>
      </x:c>
    </x:row>
    <x:row r="25">
      <x:c r="A25" s="31" t="str">
        <x:v>23:00-24:00</x:v>
      </x:c>
      <x:c r="B25" s="50" t="n">
        <x:v>0.2467</x:v>
      </x:c>
      <x:c r="C25" s="50" t="n">
        <x:f>B25*'参数'!$B$4</x:f>
        <x:v>1.4802</x:v>
      </x:c>
      <x:c r="D25" s="50" t="n">
        <x:v>0.0798</x:v>
      </x:c>
      <x:c r="E25" s="50" t="n">
        <x:v>0</x:v>
      </x:c>
      <x:c r="F25" s="52" t="n">
        <x:f>D25*'参数'!$B$5</x:f>
        <x:v>3.1919999999999997</x:v>
      </x:c>
      <x:c r="G25" s="52" t="n">
        <x:f>E25*'参数'!$B$6</x:f>
        <x:v>0</x:v>
      </x:c>
      <x:c r="H25" s="52" t="n">
        <x:f>'参数'!$B$7+'参数'!$B$8+'参数'!$B$9</x:f>
        <x:v>20.75</x:v>
      </x:c>
      <x:c r="I25" s="52" t="n">
        <x:f>C25+H25</x:f>
        <x:v>22.2302</x:v>
      </x:c>
      <x:c r="J25" s="52" t="n">
        <x:f>F25+G25</x:f>
        <x:v>3.1919999999999997</x:v>
      </x:c>
      <x:c r="K25" s="52" t="n">
        <x:f>MAX(I25-J25,0)</x:f>
        <x:v>19.0382</x:v>
      </x:c>
      <x:c r="L25" s="52" t="n">
        <x:f>MAX(J25-I25,0)</x:f>
        <x:v>0</x:v>
      </x:c>
      <x:c r="M25" s="50" t="n">
        <x:v>0.3424</x:v>
      </x:c>
      <x:c r="N25" s="50" t="n">
        <x:v>0.3779</x:v>
      </x:c>
      <x:c r="O25" s="54" t="n">
        <x:f>K25*1000*M25</x:f>
        <x:v>6518.67968</x:v>
      </x:c>
      <x:c r="P25" s="54" t="n">
        <x:f>L25*1000*N25</x:f>
        <x:v>0</x:v>
      </x:c>
      <x:c r="Q25" s="57" t="n">
        <x:f>F25+G25+K25-I25-L25</x:f>
        <x:v>0</x:v>
      </x:c>
      <x:c r="R25" s="58" t="n">
        <x:f>K25*L25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问题一计算结果</x:v>
      </x:c>
      <x:c r="B1" s="3"/>
      <x:c r="C1" s="3"/>
      <x:c r="D1" s="3"/>
    </x:row>
    <x:row r="3">
      <x:c r="A3" s="5" t="str">
        <x:v>能量与物料汇总</x:v>
      </x:c>
      <x:c r="B3" s="5"/>
      <x:c r="C3" s="5"/>
    </x:row>
    <x:row r="4">
      <x:c r="A4" s="37" t="str">
        <x:v>指标</x:v>
      </x:c>
      <x:c r="B4" s="38" t="str">
        <x:v>数值</x:v>
      </x:c>
      <x:c r="C4" s="39" t="str">
        <x:v>单位</x:v>
      </x:c>
    </x:row>
    <x:row r="5">
      <x:c r="A5" s="28" t="str">
        <x:v>常规负荷电量</x:v>
      </x:c>
      <x:c r="B5" s="59" t="n">
        <x:f>SUM('逐时运行'!C2:C25)</x:f>
        <x:v>60.72</x:v>
      </x:c>
      <x:c r="C5" s="30" t="str">
        <x:v>MWh</x:v>
      </x:c>
    </x:row>
    <x:row r="6">
      <x:c r="A6" s="28" t="str">
        <x:v>电氢氨负荷电量</x:v>
      </x:c>
      <x:c r="B6" s="59" t="n">
        <x:f>SUM('逐时运行'!H2:H25)</x:f>
        <x:v>498</x:v>
      </x:c>
      <x:c r="C6" s="30" t="str">
        <x:v>MWh</x:v>
      </x:c>
    </x:row>
    <x:row r="7">
      <x:c r="A7" s="28" t="str">
        <x:v>总负荷电量</x:v>
      </x:c>
      <x:c r="B7" s="59" t="n">
        <x:f>SUM('逐时运行'!I2:I25)</x:f>
        <x:v>558.7199999999998</x:v>
      </x:c>
      <x:c r="C7" s="30" t="str">
        <x:v>MWh</x:v>
      </x:c>
    </x:row>
    <x:row r="8">
      <x:c r="A8" s="28" t="str">
        <x:v>风电电量</x:v>
      </x:c>
      <x:c r="B8" s="59" t="n">
        <x:f>SUM('逐时运行'!F2:F25)</x:f>
        <x:v>245.048</x:v>
      </x:c>
      <x:c r="C8" s="30" t="str">
        <x:v>MWh</x:v>
      </x:c>
    </x:row>
    <x:row r="9">
      <x:c r="A9" s="28" t="str">
        <x:v>光伏电量</x:v>
      </x:c>
      <x:c r="B9" s="59" t="n">
        <x:f>SUM('逐时运行'!G2:G25)</x:f>
        <x:v>358.40000000000003</x:v>
      </x:c>
      <x:c r="C9" s="30" t="str">
        <x:v>MWh</x:v>
      </x:c>
    </x:row>
    <x:row r="10">
      <x:c r="A10" s="28" t="str">
        <x:v>新能源发电量</x:v>
      </x:c>
      <x:c r="B10" s="59" t="n">
        <x:f>SUM('逐时运行'!J2:J25)</x:f>
        <x:v>603.448</x:v>
      </x:c>
      <x:c r="C10" s="30" t="str">
        <x:v>MWh</x:v>
      </x:c>
    </x:row>
    <x:row r="11">
      <x:c r="A11" s="28" t="str">
        <x:v>购电量</x:v>
      </x:c>
      <x:c r="B11" s="59" t="n">
        <x:f>SUM('逐时运行'!K2:K25)</x:f>
        <x:v>172.0438</x:v>
      </x:c>
      <x:c r="C11" s="30" t="str">
        <x:v>MWh</x:v>
      </x:c>
    </x:row>
    <x:row r="12">
      <x:c r="A12" s="28" t="str">
        <x:v>上网电量</x:v>
      </x:c>
      <x:c r="B12" s="59" t="n">
        <x:f>SUM('逐时运行'!L2:L25)</x:f>
        <x:v>216.77179999999998</x:v>
      </x:c>
      <x:c r="C12" s="30" t="str">
        <x:v>MWh</x:v>
      </x:c>
    </x:row>
    <x:row r="13">
      <x:c r="A13" s="28" t="str">
        <x:v>氢气产量</x:v>
      </x:c>
      <x:c r="B13" s="59" t="n">
        <x:f>24*(1000*'参数'!$B$7*'参数'!$B$10/'参数'!$B$12+1000*'参数'!$B$8*'参数'!$B$11/'参数'!$B$12)</x:f>
        <x:v>7200</x:v>
      </x:c>
      <x:c r="C13" s="30" t="str">
        <x:v>kgH2/day</x:v>
      </x:c>
    </x:row>
    <x:row r="14">
      <x:c r="A14" s="28" t="str">
        <x:v>氨产量</x:v>
      </x:c>
      <x:c r="B14" s="59" t="n">
        <x:f>B13/1000/0.2</x:f>
        <x:v>36</x:v>
      </x:c>
      <x:c r="C14" s="30" t="str">
        <x:v>t/day</x:v>
      </x:c>
    </x:row>
    <x:row r="15">
      <x:c r="A15" s="28" t="str">
        <x:v>缺电时段数</x:v>
      </x:c>
      <x:c r="B15" s="59" t="n">
        <x:f>COUNTIF('逐时运行'!K2:K25,"&gt;0")</x:f>
        <x:v>14</x:v>
      </x:c>
      <x:c r="C15" s="30" t="str">
        <x:v>h</x:v>
      </x:c>
    </x:row>
    <x:row r="16">
      <x:c r="A16" s="28" t="str">
        <x:v>余电时段数</x:v>
      </x:c>
      <x:c r="B16" s="59" t="n">
        <x:f>COUNTIF('逐时运行'!L2:L25,"&gt;0")</x:f>
        <x:v>10</x:v>
      </x:c>
      <x:c r="C16" s="30" t="str">
        <x:v>h</x:v>
      </x:c>
    </x:row>
    <x:row r="17">
      <x:c r="A17" s="28" t="str">
        <x:v>最大购电功率</x:v>
      </x:c>
      <x:c r="B17" s="59" t="n">
        <x:f>MAX('逐时运行'!K2:K25)</x:f>
        <x:v>19.81</x:v>
      </x:c>
      <x:c r="C17" s="30" t="str">
        <x:v>MW</x:v>
      </x:c>
    </x:row>
    <x:row r="18">
      <x:c r="A18" s="28" t="str">
        <x:v>最大上网功率</x:v>
      </x:c>
      <x:c r="B18" s="59" t="n">
        <x:f>MAX('逐时运行'!L2:L25)</x:f>
        <x:v>36.590199999999996</x:v>
      </x:c>
      <x:c r="C18" s="30" t="str">
        <x:v>MW</x:v>
      </x:c>
    </x:row>
    <x:row r="19">
      <x:c r="A19" s="31" t="str">
        <x:v>新能源总量充裕系数</x:v>
      </x:c>
      <x:c r="B19" s="50" t="n">
        <x:f>B10/B7</x:f>
        <x:v>1.0800544100801837</x:v>
      </x:c>
      <x:c r="C19" s="33" t="str">
        <x:v>-</x:v>
      </x:c>
    </x:row>
    <x:row r="21">
      <x:c r="A21" s="5" t="str">
        <x:v>绿电指标评价（严格采用题面公式）</x:v>
      </x:c>
      <x:c r="B21" s="5"/>
      <x:c r="C21" s="5"/>
      <x:c r="D21" s="5"/>
      <x:c r="E21" s="5"/>
      <x:c r="F21" s="5"/>
    </x:row>
    <x:row r="22">
      <x:c r="A22" s="37" t="str">
        <x:v>指标</x:v>
      </x:c>
      <x:c r="B22" s="38" t="str">
        <x:v>计算值</x:v>
      </x:c>
      <x:c r="C22" s="38" t="str">
        <x:v>阈值</x:v>
      </x:c>
      <x:c r="D22" s="38" t="str">
        <x:v>判定方向</x:v>
      </x:c>
      <x:c r="E22" s="38" t="str">
        <x:v>阈值缺口</x:v>
      </x:c>
      <x:c r="F22" s="39" t="str">
        <x:v>结论</x:v>
      </x:c>
    </x:row>
    <x:row r="23">
      <x:c r="A23" s="28" t="str">
        <x:v>新能源自发自用比例</x:v>
      </x:c>
      <x:c r="B23" s="60" t="n">
        <x:f>(B7-B12-B11)/B10</x:f>
        <x:v>0.28155599156845296</x:v>
      </x:c>
      <x:c r="C23" s="60" t="n">
        <x:v>0.6</x:v>
      </x:c>
      <x:c r="D23" s="29" t="str">
        <x:v>&gt;</x:v>
      </x:c>
      <x:c r="E23" s="60" t="n">
        <x:f>B23-C23</x:f>
        <x:v>-0.318444008431547</x:v>
      </x:c>
      <x:c r="F23" s="40" t="str">
        <x:f>IF(B23&gt;C23,"达标","不达标")</x:f>
        <x:v>不达标</x:v>
      </x:c>
    </x:row>
    <x:row r="24">
      <x:c r="A24" s="28" t="str">
        <x:v>新能源供电占比</x:v>
      </x:c>
      <x:c r="B24" s="60" t="n">
        <x:f>(B10-B12)/B7</x:f>
        <x:v>0.6920751002290954</x:v>
      </x:c>
      <x:c r="C24" s="60" t="n">
        <x:v>0.3</x:v>
      </x:c>
      <x:c r="D24" s="29" t="str">
        <x:v>&gt;</x:v>
      </x:c>
      <x:c r="E24" s="60" t="n">
        <x:f>B24-C24</x:f>
        <x:v>0.39207510022909536</x:v>
      </x:c>
      <x:c r="F24" s="41" t="str">
        <x:f>IF(B24&gt;C24,"达标","不达标")</x:f>
        <x:v>达标</x:v>
      </x:c>
    </x:row>
    <x:row r="25">
      <x:c r="A25" s="31" t="str">
        <x:v>上网电量比例</x:v>
      </x:c>
      <x:c r="B25" s="61" t="n">
        <x:f>B12/B10</x:f>
        <x:v>0.3592220042157733</x:v>
      </x:c>
      <x:c r="C25" s="61" t="n">
        <x:v>0.2</x:v>
      </x:c>
      <x:c r="D25" s="32" t="str">
        <x:v>&lt;</x:v>
      </x:c>
      <x:c r="E25" s="61" t="n">
        <x:f>C25-B25</x:f>
        <x:v>-0.15922200421577332</x:v>
      </x:c>
      <x:c r="F25" s="42" t="str">
        <x:f>IF(B25&lt;C25,"达标","不达标")</x:f>
        <x:v>不达标</x:v>
      </x:c>
    </x:row>
    <x:row r="27">
      <x:c r="A27" s="5" t="str">
        <x:v>净成本核算（售电收入作为成本抵扣）</x:v>
      </x:c>
      <x:c r="B27" s="5"/>
      <x:c r="C27" s="5"/>
    </x:row>
    <x:row r="28">
      <x:c r="A28" s="37" t="str">
        <x:v>成本项目</x:v>
      </x:c>
      <x:c r="B28" s="38" t="str">
        <x:v>数值</x:v>
      </x:c>
      <x:c r="C28" s="39" t="str">
        <x:v>单位</x:v>
      </x:c>
    </x:row>
    <x:row r="29">
      <x:c r="A29" s="28" t="str">
        <x:v>风电发电成本</x:v>
      </x:c>
      <x:c r="B29" s="53" t="n">
        <x:f>B8*1000*'参数'!$B$13</x:f>
        <x:v>36757.2</x:v>
      </x:c>
      <x:c r="C29" s="30" t="str">
        <x:v>¥/day</x:v>
      </x:c>
    </x:row>
    <x:row r="30">
      <x:c r="A30" s="28" t="str">
        <x:v>光伏发电成本</x:v>
      </x:c>
      <x:c r="B30" s="53" t="n">
        <x:f>B9*1000*'参数'!$B$14</x:f>
        <x:v>43008.00000000001</x:v>
      </x:c>
      <x:c r="C30" s="30" t="str">
        <x:v>¥/day</x:v>
      </x:c>
    </x:row>
    <x:row r="31">
      <x:c r="A31" s="28" t="str">
        <x:v>购电成本</x:v>
      </x:c>
      <x:c r="B31" s="53" t="n">
        <x:f>SUM('逐时运行'!O2:O25)</x:f>
        <x:v>97721.02511999999</x:v>
      </x:c>
      <x:c r="C31" s="30" t="str">
        <x:v>¥/day</x:v>
      </x:c>
    </x:row>
    <x:row r="32">
      <x:c r="A32" s="28" t="str">
        <x:v>售电收入</x:v>
      </x:c>
      <x:c r="B32" s="53" t="n">
        <x:f>SUM('逐时运行'!P2:P25)</x:f>
        <x:v>81918.06322</x:v>
      </x:c>
      <x:c r="C32" s="30" t="str">
        <x:v>¥/day</x:v>
      </x:c>
    </x:row>
    <x:row r="33">
      <x:c r="A33" s="28" t="str">
        <x:v>碱性电解槽运维成本</x:v>
      </x:c>
      <x:c r="B33" s="53" t="n">
        <x:f>24*'参数'!$B$7*1000*'参数'!$B$15</x:f>
        <x:v>24000</x:v>
      </x:c>
      <x:c r="C33" s="30" t="str">
        <x:v>¥/day</x:v>
      </x:c>
    </x:row>
    <x:row r="34">
      <x:c r="A34" s="28" t="str">
        <x:v>PEM电解槽运维成本</x:v>
      </x:c>
      <x:c r="B34" s="53" t="n">
        <x:f>24*'参数'!$B$8*1000*'参数'!$B$16</x:f>
        <x:v>36000</x:v>
      </x:c>
      <x:c r="C34" s="30" t="str">
        <x:v>¥/day</x:v>
      </x:c>
    </x:row>
    <x:row r="35">
      <x:c r="A35" s="28" t="str">
        <x:v>合成氨装置运维成本</x:v>
      </x:c>
      <x:c r="B35" s="53" t="n">
        <x:f>24*'参数'!$B$9*1000*'参数'!$B$17</x:f>
        <x:v>36</x:v>
      </x:c>
      <x:c r="C35" s="30" t="str">
        <x:v>¥/day</x:v>
      </x:c>
    </x:row>
    <x:row r="36">
      <x:c r="A36" s="28" t="str">
        <x:v>合成氨装置资本分摊</x:v>
      </x:c>
      <x:c r="B36" s="53" t="n">
        <x:f>'参数'!$B$18*(B13/24)/'参数'!$B$19/365</x:f>
        <x:v>1643.835616438356</x:v>
      </x:c>
      <x:c r="C36" s="30" t="str">
        <x:v>¥/day</x:v>
      </x:c>
    </x:row>
    <x:row r="37">
      <x:c r="A37" s="43" t="str">
        <x:v>日净成本</x:v>
      </x:c>
      <x:c r="B37" s="62" t="n">
        <x:f>SUM(B29:B31)-B32+SUM(B33:B36)</x:f>
        <x:v>157247.99751643836</x:v>
      </x:c>
      <x:c r="C37" s="45" t="str">
        <x:v>¥/day</x:v>
      </x:c>
    </x:row>
    <x:row r="38">
      <x:c r="A38" s="46" t="str">
        <x:v>净吨氨成本</x:v>
      </x:c>
      <x:c r="B38" s="63" t="n">
        <x:f>B37/B14</x:f>
        <x:v>4367.999931012177</x:v>
      </x:c>
      <x:c r="C38" s="48" t="str">
        <x:v>¥/t</x:v>
      </x:c>
    </x:row>
  </x:sheetData>
  <x:mergeCells>
    <x:mergeCell ref="A1:F1"/>
    <x:mergeCell ref="A3:C3"/>
    <x:mergeCell ref="A21:F21"/>
    <x:mergeCell ref="A27:C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 ht="28" customHeight="1">
      <x:c r="A1" s="3" t="str">
        <x:v>问题一约束与一致性校验</x:v>
      </x:c>
      <x:c r="B1" s="3"/>
      <x:c r="C1" s="3"/>
      <x:c r="D1" s="3"/>
    </x:row>
    <x:row r="3">
      <x:c r="A3" s="37" t="str">
        <x:v>校验项</x:v>
      </x:c>
      <x:c r="B3" s="38" t="str">
        <x:v>残差</x:v>
      </x:c>
      <x:c r="C3" s="39" t="str">
        <x:v>单位</x:v>
      </x:c>
    </x:row>
    <x:row r="4">
      <x:c r="A4" s="28" t="str">
        <x:v>最大逐时功率平衡残差</x:v>
      </x:c>
      <x:c r="B4" s="55" t="n">
        <x:f>MAX(MAX('逐时运行'!Q2:Q25),-MIN('逐时运行'!Q2:Q25))</x:f>
        <x:v>0</x:v>
      </x:c>
      <x:c r="C4" s="30" t="str">
        <x:v>MW</x:v>
      </x:c>
    </x:row>
    <x:row r="5">
      <x:c r="A5" s="28" t="str">
        <x:v>电量平衡残差</x:v>
      </x:c>
      <x:c r="B5" s="55" t="n">
        <x:f>SUM('逐时运行'!F2:F25)+SUM('逐时运行'!G2:G25)+SUM('逐时运行'!K2:K25)-SUM('逐时运行'!I2:I25)-SUM('逐时运行'!L2:L25)</x:f>
        <x:v>3.410605131648481e-13</x:v>
      </x:c>
      <x:c r="C5" s="30" t="str">
        <x:v>MWh</x:v>
      </x:c>
    </x:row>
    <x:row r="6">
      <x:c r="A6" s="28" t="str">
        <x:v>购售电同时发生最大值</x:v>
      </x:c>
      <x:c r="B6" s="55" t="n">
        <x:f>MAX('逐时运行'!R2:R25)</x:f>
        <x:v>0</x:v>
      </x:c>
      <x:c r="C6" s="30" t="str">
        <x:v>MW2</x:v>
      </x:c>
    </x:row>
    <x:row r="7">
      <x:c r="A7" s="28" t="str">
        <x:v>氢气平衡残差</x:v>
      </x:c>
      <x:c r="B7" s="55" t="n">
        <x:f>1000*'参数'!$B$7*'参数'!$B$10/'参数'!$B$12+1000*'参数'!$B$8*'参数'!$B$11/'参数'!$B$12-'参数'!$B$20*('参数'!$B$9*1000/'参数'!$B$21)</x:f>
        <x:v>0</x:v>
      </x:c>
      <x:c r="C7" s="30" t="str">
        <x:v>kgH2/h</x:v>
      </x:c>
    </x:row>
    <x:row r="8">
      <x:c r="A8" s="31" t="str">
        <x:v>合成氨耗电残差</x:v>
      </x:c>
      <x:c r="B8" s="57" t="n">
        <x:f>'参数'!$B$9-'参数'!$B$21*((1000*'参数'!$B$7*'参数'!$B$10/'参数'!$B$12+1000*'参数'!$B$8*'参数'!$B$11/'参数'!$B$12)/'参数'!$B$20)/1000</x:f>
        <x:v>0</x:v>
      </x:c>
      <x:c r="C8" s="33" t="str">
        <x:v>MW</x:v>
      </x:c>
    </x:row>
  </x:sheetData>
  <x:mergeCells>
    <x:mergeCell ref="A1:C1"/>
  </x:mergeCells>
  <x:pageMargins left="0.7" right="0.7" top="0.75" bottom="0.75" header="0.3" footer="0.3"/>
</x:worksheet>
</file>